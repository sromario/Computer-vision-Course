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maypereira_deloitte_com/Documents/Documentos/"/>
    </mc:Choice>
  </mc:AlternateContent>
  <xr:revisionPtr revIDLastSave="62" documentId="8_{EC5461E1-6399-440F-817F-3A0B6B0AAD53}" xr6:coauthVersionLast="47" xr6:coauthVersionMax="47" xr10:uidLastSave="{2892D623-9ECE-4C8B-8954-46621BA6D245}"/>
  <bookViews>
    <workbookView xWindow="-108" yWindow="-108" windowWidth="23256" windowHeight="13896" xr2:uid="{9E5E010F-0162-4389-BD40-380E6121598F}"/>
  </bookViews>
  <sheets>
    <sheet name="FINANÇA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I28" i="1"/>
  <c r="I30" i="1" s="1"/>
  <c r="J28" i="1"/>
  <c r="K28" i="1"/>
  <c r="L28" i="1"/>
  <c r="M28" i="1"/>
  <c r="N28" i="1"/>
  <c r="D29" i="1"/>
  <c r="E29" i="1"/>
  <c r="F29" i="1"/>
  <c r="G29" i="1"/>
  <c r="H29" i="1"/>
  <c r="I29" i="1"/>
  <c r="J29" i="1"/>
  <c r="K29" i="1"/>
  <c r="L29" i="1"/>
  <c r="M29" i="1"/>
  <c r="N29" i="1"/>
  <c r="C29" i="1"/>
  <c r="C28" i="1"/>
  <c r="O38" i="1"/>
  <c r="C10" i="1"/>
  <c r="K30" i="1"/>
  <c r="D10" i="1"/>
  <c r="E10" i="1"/>
  <c r="F10" i="1"/>
  <c r="G10" i="1"/>
  <c r="H10" i="1"/>
  <c r="I10" i="1"/>
  <c r="J10" i="1"/>
  <c r="K10" i="1"/>
  <c r="L10" i="1"/>
  <c r="M10" i="1"/>
  <c r="N10" i="1"/>
  <c r="M30" i="1" l="1"/>
  <c r="M35" i="1" s="1"/>
  <c r="K35" i="1"/>
  <c r="I35" i="1"/>
  <c r="J30" i="1"/>
  <c r="J35" i="1" s="1"/>
  <c r="E30" i="1"/>
  <c r="E35" i="1" s="1"/>
  <c r="G30" i="1"/>
  <c r="G35" i="1" s="1"/>
  <c r="F30" i="1"/>
  <c r="F35" i="1" s="1"/>
  <c r="D30" i="1"/>
  <c r="D35" i="1" s="1"/>
  <c r="H30" i="1"/>
  <c r="H35" i="1" s="1"/>
  <c r="L30" i="1"/>
  <c r="L35" i="1" s="1"/>
  <c r="N30" i="1"/>
  <c r="N35" i="1" s="1"/>
  <c r="C30" i="1"/>
  <c r="C35" i="1" s="1"/>
</calcChain>
</file>

<file path=xl/sharedStrings.xml><?xml version="1.0" encoding="utf-8"?>
<sst xmlns="http://schemas.openxmlformats.org/spreadsheetml/2006/main" count="100" uniqueCount="38">
  <si>
    <t>PLANILHA CONTROLE DE GASTOS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</si>
  <si>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</si>
  <si>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</si>
  <si>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</si>
  <si>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</si>
  <si>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</si>
  <si>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</si>
  <si>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</si>
  <si>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</si>
  <si>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</si>
  <si>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</si>
  <si>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</si>
  <si>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</si>
  <si>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</si>
  <si>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</si>
  <si>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INVESTIMENTOS</t>
  </si>
  <si>
    <t>OUTROS</t>
  </si>
  <si>
    <t>TOTAL</t>
  </si>
  <si>
    <t>DESPESAS</t>
  </si>
  <si>
    <t>ALUGUEL</t>
  </si>
  <si>
    <t>RESULTADOS</t>
  </si>
  <si>
    <t>VALE ALIMENTAÇÃO</t>
  </si>
  <si>
    <t>CONTA LUZ</t>
  </si>
  <si>
    <t>INTERNET</t>
  </si>
  <si>
    <t>MERCADO</t>
  </si>
  <si>
    <t>BANCO DO BRASIL</t>
  </si>
  <si>
    <t xml:space="preserve">INTER </t>
  </si>
  <si>
    <t>PAGAMENTO 15/</t>
  </si>
  <si>
    <t>MOTO</t>
  </si>
  <si>
    <t>02 QUINZENA</t>
  </si>
  <si>
    <t>01 QUINZENA</t>
  </si>
  <si>
    <t>BANCO WILL</t>
  </si>
  <si>
    <t>RESERVA</t>
  </si>
  <si>
    <t>C6 MAINHA</t>
  </si>
  <si>
    <t>PASSAGEM 5x</t>
  </si>
  <si>
    <t>SEGURO MOTO 12x</t>
  </si>
  <si>
    <t>N/D</t>
  </si>
  <si>
    <t>NOTEBOOK 12x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</si>
</sst>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164" fontId="0" fillId="5" borderId="1" xfId="1" applyNumberFormat="1" applyFont="1" applyFill="1" applyBorder="1" applyAlignment="1">
      <alignment vertical="center"/>
    </xf>
    <xf numFmtId="164" fontId="0" fillId="6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64" fontId="0" fillId="8" borderId="1" xfId="1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64" fontId="6" fillId="0" borderId="5" xfId="1" applyNumberFormat="1" applyFont="1" applyBorder="1" applyAlignment="1">
      <alignment vertical="center"/>
    </xf>
    <xf numFmtId="0" fontId="0" fillId="0" borderId="5" xfId="0" applyBorder="1"/>
    <xf numFmtId="0" fontId="0" fillId="2" borderId="0" xfId="0" applyFill="1"/>
    <xf numFmtId="0" fontId="0" fillId="2" borderId="1" xfId="0" applyFill="1" applyBorder="1" applyAlignment="1">
      <alignment vertical="center"/>
    </xf>
    <xf numFmtId="164" fontId="0" fillId="2" borderId="1" xfId="1" applyNumberFormat="1" applyFont="1" applyFill="1" applyBorder="1" applyAlignment="1">
      <alignment vertical="center"/>
    </xf>
    <xf numFmtId="164" fontId="6" fillId="4" borderId="1" xfId="0" applyNumberFormat="1" applyFont="1" applyFill="1" applyBorder="1"/>
    <xf numFmtId="164" fontId="3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164" fontId="3" fillId="6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92FF-3D5D-437F-A4D4-AC06B086B4C9}">
  <dimension ref="B2:P40"/>
  <sheetViews>
    <sheetView tabSelected="1" topLeftCell="A4" zoomScale="85" zoomScaleNormal="85" workbookViewId="0">
      <selection activeCell="D17" sqref="D17"/>
    </sheetView>
  </sheetViews>
  <sheetFormatPr defaultRowHeight="14.4" x14ac:dyDescent="0.3"/>
  <cols>
    <col min="1" max="1" width="0.44140625" customWidth="1"/>
    <col min="2" max="14" width="17.6640625" customWidth="1"/>
  </cols>
  <sheetData>
    <row r="2" spans="2:14" ht="25.8" customHeight="1" x14ac:dyDescent="0.3"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2:14" x14ac:dyDescent="0.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3">
      <c r="B4" s="11" t="s">
        <v>1</v>
      </c>
      <c r="C4" s="3" t="s">
        <v>13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pans="2:14" x14ac:dyDescent="0.3">
      <c r="B5" s="2" t="s">
        <v>14</v>
      </c>
      <c r="C5" s="5">
        <v>2045</v>
      </c>
      <c r="D5" s="5">
        <v>2045</v>
      </c>
      <c r="E5" s="5">
        <v>2045</v>
      </c>
      <c r="F5" s="5">
        <v>2045</v>
      </c>
      <c r="G5" s="5">
        <v>2045</v>
      </c>
      <c r="H5" s="5">
        <v>2045</v>
      </c>
      <c r="I5" s="5">
        <v>2045</v>
      </c>
      <c r="J5" s="5">
        <v>2045</v>
      </c>
      <c r="K5" s="5">
        <v>2045</v>
      </c>
      <c r="L5" s="5">
        <v>2045</v>
      </c>
      <c r="M5" s="5">
        <v>2045</v>
      </c>
      <c r="N5" s="5">
        <v>2045</v>
      </c>
    </row>
    <row r="6" spans="2:14" x14ac:dyDescent="0.3">
      <c r="B6" s="2" t="s">
        <v>15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2:14" x14ac:dyDescent="0.3">
      <c r="B7" s="2" t="s">
        <v>21</v>
      </c>
      <c r="C7" s="5">
        <v>1180</v>
      </c>
      <c r="D7" s="5">
        <v>1180</v>
      </c>
      <c r="E7" s="5">
        <v>1180</v>
      </c>
      <c r="F7" s="5">
        <v>1180</v>
      </c>
      <c r="G7" s="5">
        <v>1180</v>
      </c>
      <c r="H7" s="5">
        <v>1180</v>
      </c>
      <c r="I7" s="5">
        <v>1180</v>
      </c>
      <c r="J7" s="5">
        <v>1180</v>
      </c>
      <c r="K7" s="5">
        <v>1180</v>
      </c>
      <c r="L7" s="5">
        <v>1180</v>
      </c>
      <c r="M7" s="5">
        <v>1180</v>
      </c>
      <c r="N7" s="5">
        <v>1180</v>
      </c>
    </row>
    <row r="8" spans="2:14" x14ac:dyDescent="0.3">
      <c r="B8" s="2" t="s">
        <v>16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2:14" x14ac:dyDescent="0.3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2:14" x14ac:dyDescent="0.3">
      <c r="B10" s="4" t="s">
        <v>17</v>
      </c>
      <c r="C10" s="6">
        <f>SUM(C5:C8)</f>
        <v>3225</v>
      </c>
      <c r="D10" s="6">
        <f>SUM(D5:D8)</f>
        <v>3225</v>
      </c>
      <c r="E10" s="6">
        <f t="shared" ref="E10:N10" si="0">SUM(E5:E8)</f>
        <v>3225</v>
      </c>
      <c r="F10" s="6">
        <f t="shared" si="0"/>
        <v>3225</v>
      </c>
      <c r="G10" s="6">
        <f t="shared" si="0"/>
        <v>3225</v>
      </c>
      <c r="H10" s="6">
        <f t="shared" si="0"/>
        <v>3225</v>
      </c>
      <c r="I10" s="6">
        <f t="shared" si="0"/>
        <v>3225</v>
      </c>
      <c r="J10" s="6">
        <f t="shared" si="0"/>
        <v>3225</v>
      </c>
      <c r="K10" s="6">
        <f t="shared" si="0"/>
        <v>3225</v>
      </c>
      <c r="L10" s="6">
        <f t="shared" si="0"/>
        <v>3225</v>
      </c>
      <c r="M10" s="6">
        <f t="shared" si="0"/>
        <v>3225</v>
      </c>
      <c r="N10" s="6">
        <f t="shared" si="0"/>
        <v>3225</v>
      </c>
    </row>
    <row r="11" spans="2:14" x14ac:dyDescent="0.3">
      <c r="B11" s="15"/>
    </row>
    <row r="13" spans="2:14" x14ac:dyDescent="0.3">
      <c r="B13" s="11" t="s">
        <v>18</v>
      </c>
      <c r="C13" s="3" t="s">
        <v>13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  <c r="I13" s="3" t="s">
        <v>7</v>
      </c>
      <c r="J13" s="3" t="s">
        <v>8</v>
      </c>
      <c r="K13" s="3" t="s">
        <v>9</v>
      </c>
      <c r="L13" s="3" t="s">
        <v>10</v>
      </c>
      <c r="M13" s="3" t="s">
        <v>11</v>
      </c>
      <c r="N13" s="3" t="s">
        <v>12</v>
      </c>
    </row>
    <row r="14" spans="2:14" x14ac:dyDescent="0.3">
      <c r="B14" s="2" t="s">
        <v>19</v>
      </c>
      <c r="C14" s="14">
        <v>600</v>
      </c>
      <c r="D14" s="5">
        <v>600</v>
      </c>
      <c r="E14" s="5">
        <v>600</v>
      </c>
      <c r="F14" s="5">
        <v>600</v>
      </c>
      <c r="G14" s="5">
        <v>600</v>
      </c>
      <c r="H14" s="5">
        <v>600</v>
      </c>
      <c r="I14" s="5">
        <v>600</v>
      </c>
      <c r="J14" s="5">
        <v>600</v>
      </c>
      <c r="K14" s="5">
        <v>600</v>
      </c>
      <c r="L14" s="5">
        <v>600</v>
      </c>
      <c r="M14" s="5">
        <v>600</v>
      </c>
      <c r="N14" s="5">
        <v>600</v>
      </c>
    </row>
    <row r="15" spans="2:14" x14ac:dyDescent="0.3">
      <c r="B15" s="2" t="s">
        <v>22</v>
      </c>
      <c r="C15" s="14">
        <v>50</v>
      </c>
      <c r="D15" s="5">
        <v>50</v>
      </c>
      <c r="E15" s="24"/>
      <c r="F15" s="5"/>
      <c r="G15" s="5"/>
      <c r="H15" s="5"/>
      <c r="I15" s="5"/>
      <c r="J15" s="5"/>
      <c r="K15" s="5"/>
      <c r="L15" s="5"/>
      <c r="M15" s="5"/>
      <c r="N15" s="5"/>
    </row>
    <row r="16" spans="2:14" x14ac:dyDescent="0.3">
      <c r="B16" s="2" t="s">
        <v>23</v>
      </c>
      <c r="C16" s="14">
        <v>75</v>
      </c>
      <c r="D16" s="5">
        <v>75</v>
      </c>
      <c r="E16" s="5">
        <v>75</v>
      </c>
      <c r="F16" s="5">
        <v>75</v>
      </c>
      <c r="G16" s="5">
        <v>75</v>
      </c>
      <c r="H16" s="5">
        <v>75</v>
      </c>
      <c r="I16" s="5">
        <v>75</v>
      </c>
      <c r="J16" s="5">
        <v>75</v>
      </c>
      <c r="K16" s="5">
        <v>75</v>
      </c>
      <c r="L16" s="5">
        <v>75</v>
      </c>
      <c r="M16" s="5">
        <v>75</v>
      </c>
      <c r="N16" s="5">
        <v>75</v>
      </c>
    </row>
    <row r="17" spans="2:14" x14ac:dyDescent="0.3">
      <c r="B17" s="2" t="s">
        <v>26</v>
      </c>
      <c r="C17" s="14">
        <v>501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 x14ac:dyDescent="0.3">
      <c r="B18" s="2" t="s">
        <v>31</v>
      </c>
      <c r="C18" s="5">
        <v>359</v>
      </c>
      <c r="D18" s="5">
        <v>101.58</v>
      </c>
      <c r="E18" s="23" t="s">
        <v>36</v>
      </c>
      <c r="F18" s="23" t="s">
        <v>36</v>
      </c>
      <c r="G18" s="23" t="s">
        <v>36</v>
      </c>
      <c r="H18" s="23" t="s">
        <v>36</v>
      </c>
      <c r="I18" s="23" t="s">
        <v>36</v>
      </c>
      <c r="J18" s="23" t="s">
        <v>36</v>
      </c>
      <c r="K18" s="23" t="s">
        <v>36</v>
      </c>
      <c r="L18" s="23" t="s">
        <v>36</v>
      </c>
      <c r="M18" s="23" t="s">
        <v>36</v>
      </c>
      <c r="N18" s="23" t="s">
        <v>36</v>
      </c>
    </row>
    <row r="19" spans="2:14" x14ac:dyDescent="0.3">
      <c r="B19" s="2" t="s">
        <v>24</v>
      </c>
      <c r="C19" s="14">
        <v>1180</v>
      </c>
      <c r="D19" s="5">
        <v>780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4" x14ac:dyDescent="0.3">
      <c r="B20" s="2" t="s">
        <v>25</v>
      </c>
      <c r="C20" s="14">
        <v>801</v>
      </c>
      <c r="D20" s="5">
        <v>685.41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 x14ac:dyDescent="0.3">
      <c r="B21" s="12" t="s">
        <v>27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2:14" x14ac:dyDescent="0.3">
      <c r="B22" s="13" t="s">
        <v>34</v>
      </c>
      <c r="C22" s="14">
        <v>0</v>
      </c>
      <c r="D22" s="8">
        <v>252.62</v>
      </c>
      <c r="E22" s="8">
        <v>252.62</v>
      </c>
      <c r="F22" s="8">
        <v>252.62</v>
      </c>
      <c r="G22" s="8">
        <v>252.62</v>
      </c>
      <c r="H22" s="31" t="s">
        <v>36</v>
      </c>
      <c r="I22" s="31" t="s">
        <v>36</v>
      </c>
      <c r="J22" s="31" t="s">
        <v>36</v>
      </c>
      <c r="K22" s="31" t="s">
        <v>36</v>
      </c>
      <c r="L22" s="31" t="s">
        <v>36</v>
      </c>
      <c r="M22" s="31" t="s">
        <v>36</v>
      </c>
      <c r="N22" s="31" t="s">
        <v>36</v>
      </c>
    </row>
    <row r="23" spans="2:14" x14ac:dyDescent="0.3">
      <c r="B23" s="13" t="s">
        <v>37</v>
      </c>
      <c r="C23" s="14">
        <v>0</v>
      </c>
      <c r="D23" s="8">
        <v>383</v>
      </c>
      <c r="E23" s="8">
        <v>383</v>
      </c>
      <c r="F23" s="8">
        <v>383</v>
      </c>
      <c r="G23" s="8">
        <v>383</v>
      </c>
      <c r="H23" s="8">
        <v>383</v>
      </c>
      <c r="I23" s="8">
        <v>383</v>
      </c>
      <c r="J23" s="8">
        <v>383</v>
      </c>
      <c r="K23" s="8">
        <v>383</v>
      </c>
      <c r="L23" s="8"/>
      <c r="M23" s="8"/>
      <c r="N23" s="8"/>
    </row>
    <row r="24" spans="2:14" x14ac:dyDescent="0.3">
      <c r="B24" s="13" t="s">
        <v>28</v>
      </c>
      <c r="C24" s="14">
        <v>0</v>
      </c>
      <c r="D24" s="8">
        <v>500</v>
      </c>
      <c r="E24" s="8">
        <v>500</v>
      </c>
      <c r="F24" s="8">
        <v>500</v>
      </c>
      <c r="G24" s="8">
        <v>500</v>
      </c>
      <c r="H24" s="8">
        <v>500</v>
      </c>
      <c r="I24" s="8">
        <v>500</v>
      </c>
      <c r="J24" s="8">
        <v>500</v>
      </c>
      <c r="K24" s="8">
        <v>500</v>
      </c>
      <c r="L24" s="8">
        <v>500</v>
      </c>
      <c r="M24" s="8">
        <v>500</v>
      </c>
      <c r="N24" s="8">
        <v>500</v>
      </c>
    </row>
    <row r="25" spans="2:14" x14ac:dyDescent="0.3">
      <c r="B25" s="2" t="s">
        <v>33</v>
      </c>
      <c r="C25" s="14">
        <v>0</v>
      </c>
      <c r="D25" s="5">
        <v>131.9</v>
      </c>
      <c r="E25" s="5">
        <v>78</v>
      </c>
      <c r="F25" s="23" t="s">
        <v>36</v>
      </c>
      <c r="G25" s="23" t="s">
        <v>36</v>
      </c>
      <c r="H25" s="23" t="s">
        <v>36</v>
      </c>
      <c r="I25" s="23" t="s">
        <v>36</v>
      </c>
      <c r="J25" s="23" t="s">
        <v>36</v>
      </c>
      <c r="K25" s="23" t="s">
        <v>36</v>
      </c>
      <c r="L25" s="23" t="s">
        <v>36</v>
      </c>
      <c r="M25" s="23" t="s">
        <v>36</v>
      </c>
      <c r="N25" s="23" t="s">
        <v>36</v>
      </c>
    </row>
    <row r="26" spans="2:14" x14ac:dyDescent="0.3">
      <c r="B26" s="2" t="s">
        <v>35</v>
      </c>
      <c r="C26" s="14">
        <v>0</v>
      </c>
      <c r="D26" s="5">
        <v>120</v>
      </c>
      <c r="E26" s="5">
        <v>120</v>
      </c>
      <c r="F26" s="5">
        <v>120</v>
      </c>
      <c r="G26" s="5">
        <v>120</v>
      </c>
      <c r="H26" s="5">
        <v>120</v>
      </c>
      <c r="I26" s="5">
        <v>120</v>
      </c>
      <c r="J26" s="5">
        <v>120</v>
      </c>
      <c r="K26" s="5">
        <v>120</v>
      </c>
      <c r="L26" s="5">
        <v>120</v>
      </c>
      <c r="M26" s="5">
        <v>120</v>
      </c>
      <c r="N26" s="5">
        <v>120</v>
      </c>
    </row>
    <row r="27" spans="2:14" x14ac:dyDescent="0.3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14" x14ac:dyDescent="0.3">
      <c r="B28" s="4" t="s">
        <v>30</v>
      </c>
      <c r="C28" s="6">
        <f>SUM(C22:C27)</f>
        <v>0</v>
      </c>
      <c r="D28" s="6">
        <f t="shared" ref="D28:N28" si="1">SUM(D22:D27)</f>
        <v>1387.52</v>
      </c>
      <c r="E28" s="6">
        <f t="shared" si="1"/>
        <v>1333.62</v>
      </c>
      <c r="F28" s="6">
        <f t="shared" si="1"/>
        <v>1255.6199999999999</v>
      </c>
      <c r="G28" s="6">
        <f t="shared" si="1"/>
        <v>1255.6199999999999</v>
      </c>
      <c r="H28" s="6">
        <f t="shared" si="1"/>
        <v>1003</v>
      </c>
      <c r="I28" s="6">
        <f t="shared" si="1"/>
        <v>1003</v>
      </c>
      <c r="J28" s="6">
        <f t="shared" si="1"/>
        <v>1003</v>
      </c>
      <c r="K28" s="6">
        <f t="shared" si="1"/>
        <v>1003</v>
      </c>
      <c r="L28" s="6">
        <f t="shared" si="1"/>
        <v>620</v>
      </c>
      <c r="M28" s="6">
        <f t="shared" si="1"/>
        <v>620</v>
      </c>
      <c r="N28" s="6">
        <f t="shared" si="1"/>
        <v>620</v>
      </c>
    </row>
    <row r="29" spans="2:14" x14ac:dyDescent="0.3">
      <c r="B29" s="4" t="s">
        <v>29</v>
      </c>
      <c r="C29" s="6">
        <f>SUM(C14:C20)</f>
        <v>3566</v>
      </c>
      <c r="D29" s="6">
        <f t="shared" ref="D29:N29" si="2">SUM(D14:D20)</f>
        <v>2291.9899999999998</v>
      </c>
      <c r="E29" s="6">
        <f t="shared" si="2"/>
        <v>675</v>
      </c>
      <c r="F29" s="6">
        <f t="shared" si="2"/>
        <v>675</v>
      </c>
      <c r="G29" s="6">
        <f t="shared" si="2"/>
        <v>675</v>
      </c>
      <c r="H29" s="6">
        <f t="shared" si="2"/>
        <v>675</v>
      </c>
      <c r="I29" s="6">
        <f t="shared" si="2"/>
        <v>675</v>
      </c>
      <c r="J29" s="6">
        <f t="shared" si="2"/>
        <v>675</v>
      </c>
      <c r="K29" s="6">
        <f t="shared" si="2"/>
        <v>675</v>
      </c>
      <c r="L29" s="6">
        <f t="shared" si="2"/>
        <v>675</v>
      </c>
      <c r="M29" s="6">
        <f t="shared" si="2"/>
        <v>675</v>
      </c>
      <c r="N29" s="6">
        <f t="shared" si="2"/>
        <v>675</v>
      </c>
    </row>
    <row r="30" spans="2:14" x14ac:dyDescent="0.3">
      <c r="B30" s="4" t="s">
        <v>17</v>
      </c>
      <c r="C30" s="6">
        <f>SUM(C28:C29)</f>
        <v>3566</v>
      </c>
      <c r="D30" s="6">
        <f t="shared" ref="D30:N30" si="3">SUM(D28:D29)</f>
        <v>3679.5099999999998</v>
      </c>
      <c r="E30" s="6">
        <f t="shared" si="3"/>
        <v>2008.62</v>
      </c>
      <c r="F30" s="6">
        <f t="shared" si="3"/>
        <v>1930.62</v>
      </c>
      <c r="G30" s="6">
        <f t="shared" si="3"/>
        <v>1930.62</v>
      </c>
      <c r="H30" s="6">
        <f t="shared" si="3"/>
        <v>1678</v>
      </c>
      <c r="I30" s="6">
        <f t="shared" si="3"/>
        <v>1678</v>
      </c>
      <c r="J30" s="6">
        <f t="shared" si="3"/>
        <v>1678</v>
      </c>
      <c r="K30" s="6">
        <f t="shared" si="3"/>
        <v>1678</v>
      </c>
      <c r="L30" s="6">
        <f t="shared" si="3"/>
        <v>1295</v>
      </c>
      <c r="M30" s="6">
        <f t="shared" si="3"/>
        <v>1295</v>
      </c>
      <c r="N30" s="6">
        <f t="shared" si="3"/>
        <v>1295</v>
      </c>
    </row>
    <row r="34" spans="2:16" ht="18" x14ac:dyDescent="0.3">
      <c r="B34" s="25" t="s">
        <v>20</v>
      </c>
      <c r="C34" s="9" t="s">
        <v>13</v>
      </c>
      <c r="D34" s="9" t="s">
        <v>2</v>
      </c>
      <c r="E34" s="9" t="s">
        <v>3</v>
      </c>
      <c r="F34" s="9" t="s">
        <v>4</v>
      </c>
      <c r="G34" s="9" t="s">
        <v>5</v>
      </c>
      <c r="H34" s="9" t="s">
        <v>6</v>
      </c>
      <c r="I34" s="9" t="s">
        <v>7</v>
      </c>
      <c r="J34" s="9" t="s">
        <v>8</v>
      </c>
      <c r="K34" s="9" t="s">
        <v>9</v>
      </c>
      <c r="L34" s="9" t="s">
        <v>10</v>
      </c>
      <c r="M34" s="9" t="s">
        <v>11</v>
      </c>
      <c r="N34" s="9" t="s">
        <v>12</v>
      </c>
    </row>
    <row r="35" spans="2:16" ht="18" x14ac:dyDescent="0.3">
      <c r="B35" s="26"/>
      <c r="C35" s="10">
        <f>C10-C30</f>
        <v>-341</v>
      </c>
      <c r="D35" s="10">
        <f t="shared" ref="D35:N35" si="4">D10-D30</f>
        <v>-454.50999999999976</v>
      </c>
      <c r="E35" s="10">
        <f t="shared" si="4"/>
        <v>1216.3800000000001</v>
      </c>
      <c r="F35" s="10">
        <f t="shared" si="4"/>
        <v>1294.3800000000001</v>
      </c>
      <c r="G35" s="10">
        <f t="shared" si="4"/>
        <v>1294.3800000000001</v>
      </c>
      <c r="H35" s="10">
        <f t="shared" si="4"/>
        <v>1547</v>
      </c>
      <c r="I35" s="10">
        <f t="shared" si="4"/>
        <v>1547</v>
      </c>
      <c r="J35" s="10">
        <f t="shared" si="4"/>
        <v>1547</v>
      </c>
      <c r="K35" s="10">
        <f t="shared" si="4"/>
        <v>1547</v>
      </c>
      <c r="L35" s="10">
        <f t="shared" si="4"/>
        <v>1930</v>
      </c>
      <c r="M35" s="10">
        <f t="shared" si="4"/>
        <v>1930</v>
      </c>
      <c r="N35" s="10">
        <f t="shared" si="4"/>
        <v>1930</v>
      </c>
    </row>
    <row r="36" spans="2:16" x14ac:dyDescent="0.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2:16" x14ac:dyDescent="0.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2:16" ht="18" x14ac:dyDescent="0.3">
      <c r="B38" s="27" t="s">
        <v>32</v>
      </c>
      <c r="C38" s="9" t="s">
        <v>13</v>
      </c>
      <c r="D38" s="9" t="s">
        <v>2</v>
      </c>
      <c r="E38" s="9" t="s">
        <v>3</v>
      </c>
      <c r="F38" s="9" t="s">
        <v>4</v>
      </c>
      <c r="G38" s="9" t="s">
        <v>5</v>
      </c>
      <c r="H38" s="9" t="s">
        <v>6</v>
      </c>
      <c r="I38" s="9" t="s">
        <v>7</v>
      </c>
      <c r="J38" s="9" t="s">
        <v>8</v>
      </c>
      <c r="K38" s="9" t="s">
        <v>9</v>
      </c>
      <c r="L38" s="9" t="s">
        <v>10</v>
      </c>
      <c r="M38" s="9" t="s">
        <v>11</v>
      </c>
      <c r="N38" s="16" t="s">
        <v>12</v>
      </c>
      <c r="O38" s="28">
        <f>SUM(B39:N40)</f>
        <v>2100</v>
      </c>
      <c r="P38" s="28"/>
    </row>
    <row r="39" spans="2:16" ht="18" x14ac:dyDescent="0.3">
      <c r="B39" s="27"/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7">
        <v>0</v>
      </c>
      <c r="O39" s="28"/>
      <c r="P39" s="28"/>
    </row>
    <row r="40" spans="2:16" ht="18" x14ac:dyDescent="0.35">
      <c r="B40" s="22">
        <v>2100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8"/>
      <c r="O40" s="28"/>
      <c r="P40" s="28"/>
    </row>
  </sheetData>
  <mergeCells count="4">
    <mergeCell ref="B34:B35"/>
    <mergeCell ref="B38:B39"/>
    <mergeCell ref="O38:P40"/>
    <mergeCell ref="B2:N3"/>
  </mergeCells>
  <phoneticPr fontId="4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b7201b8-bc6a-4e00-b11f-891103e7a524}" enabled="1" method="Privilege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FINANÇAS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Maycon Romario dos Santos</dc:creator>
  <cp:lastModifiedBy>Pereira, Maycon Romario dos Santos</cp:lastModifiedBy>
  <dcterms:created xsi:type="dcterms:W3CDTF">2025-12-29T15:17:39Z</dcterms:created>
  <dcterms:modified xsi:type="dcterms:W3CDTF">2025-12-30T11:43:34Z</dcterms:modified>
</cp:coreProperties>
</file>